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898ED53B-0996-4414-B26C-4A36DA645B8E}" xr6:coauthVersionLast="47" xr6:coauthVersionMax="47" xr10:uidLastSave="{00000000-0000-0000-0000-000000000000}"/>
  <bookViews>
    <workbookView xWindow="-110" yWindow="-110" windowWidth="19420" windowHeight="10300" xr2:uid="{869F6865-70A6-40F3-B0C9-EC2B32127F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G8" i="1"/>
  <c r="G9" i="1"/>
  <c r="G10" i="1"/>
  <c r="G7" i="1"/>
  <c r="G5" i="1"/>
  <c r="G3" i="1"/>
  <c r="G4" i="1"/>
  <c r="F10" i="1"/>
  <c r="F9" i="1"/>
  <c r="F8" i="1"/>
  <c r="F7" i="1"/>
  <c r="F5" i="1"/>
  <c r="F4" i="1"/>
  <c r="F3" i="1"/>
</calcChain>
</file>

<file path=xl/sharedStrings.xml><?xml version="1.0" encoding="utf-8"?>
<sst xmlns="http://schemas.openxmlformats.org/spreadsheetml/2006/main" count="33" uniqueCount="21">
  <si>
    <t>Nama Murid</t>
  </si>
  <si>
    <t>Jenis Kelamin</t>
  </si>
  <si>
    <t>Nilai</t>
  </si>
  <si>
    <t>Peringkat 1</t>
  </si>
  <si>
    <t>Peringkat 2</t>
  </si>
  <si>
    <t xml:space="preserve">Peringkat 3 </t>
  </si>
  <si>
    <t>Nama</t>
  </si>
  <si>
    <t>Christian</t>
  </si>
  <si>
    <t>Okta</t>
  </si>
  <si>
    <t>Dika</t>
  </si>
  <si>
    <t>Ellen</t>
  </si>
  <si>
    <t>Dewi</t>
  </si>
  <si>
    <t>Kirana</t>
  </si>
  <si>
    <t>Putra</t>
  </si>
  <si>
    <t>Beni</t>
  </si>
  <si>
    <t>Rani</t>
  </si>
  <si>
    <t>L</t>
  </si>
  <si>
    <t>P</t>
  </si>
  <si>
    <t>Peringkat 4</t>
  </si>
  <si>
    <t>Terbesar</t>
  </si>
  <si>
    <t>Terkecil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</si>
</sst>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AE9FB-6184-48AD-884F-DB60BFF9EBDE}">
  <dimension ref="A1:G10"/>
  <sheetViews>
    <sheetView tabSelected="1" workbookViewId="0">
      <selection activeCell="F3" sqref="F3"/>
    </sheetView>
  </sheetViews>
  <sheetFormatPr defaultRowHeight="15.5" x14ac:dyDescent="0.35"/>
  <cols>
    <col min="1" max="1" width="13" style="1" bestFit="1" customWidth="1"/>
    <col min="2" max="2" width="14.1796875" style="4" bestFit="1" customWidth="1"/>
    <col min="3" max="4" width="8.7265625" style="1"/>
    <col min="5" max="5" width="11.36328125" style="1" bestFit="1" customWidth="1"/>
    <col min="6" max="16384" width="8.7265625" style="1"/>
  </cols>
  <sheetData>
    <row r="1" spans="1:7" x14ac:dyDescent="0.35">
      <c r="A1" s="5" t="s">
        <v>0</v>
      </c>
      <c r="B1" s="5" t="s">
        <v>1</v>
      </c>
      <c r="C1" s="5" t="s">
        <v>2</v>
      </c>
      <c r="E1" s="6" t="s">
        <v>19</v>
      </c>
      <c r="F1" s="6" t="s">
        <v>2</v>
      </c>
      <c r="G1" s="6" t="s">
        <v>6</v>
      </c>
    </row>
    <row r="2" spans="1:7" x14ac:dyDescent="0.35">
      <c r="A2" s="2" t="s">
        <v>7</v>
      </c>
      <c r="B2" s="3" t="s">
        <v>16</v>
      </c>
      <c r="C2" s="2">
        <v>58</v>
      </c>
      <c r="E2" s="1" t="s">
        <v>3</v>
      </c>
      <c r="F2" s="1">
        <f>LARGE($C$2:$C$10,1)</f>
        <v>92</v>
      </c>
      <c r="G2" s="1" t="str">
        <f>INDEX($A$2:$C$10,MATCH(F2,$C$2:$C$10,0),1)</f>
        <v>Ellen</v>
      </c>
    </row>
    <row r="3" spans="1:7" x14ac:dyDescent="0.35">
      <c r="A3" s="2" t="s">
        <v>8</v>
      </c>
      <c r="B3" s="3" t="s">
        <v>17</v>
      </c>
      <c r="C3" s="2">
        <v>78</v>
      </c>
      <c r="E3" s="1" t="s">
        <v>4</v>
      </c>
      <c r="F3" s="1">
        <f>LARGE($C$2:$C$10,2)</f>
        <v>89</v>
      </c>
      <c r="G3" s="1" t="str">
        <f t="shared" ref="G3:G5" si="0">INDEX($A$2:$C$10,MATCH(F3,$C$2:$C$10,0),1)</f>
        <v>Dika</v>
      </c>
    </row>
    <row r="4" spans="1:7" x14ac:dyDescent="0.35">
      <c r="A4" s="2" t="s">
        <v>9</v>
      </c>
      <c r="B4" s="3" t="s">
        <v>16</v>
      </c>
      <c r="C4" s="2">
        <v>89</v>
      </c>
      <c r="E4" s="1" t="s">
        <v>5</v>
      </c>
      <c r="F4" s="1">
        <f>LARGE($C$2:$C$10,3)</f>
        <v>80</v>
      </c>
      <c r="G4" s="1" t="str">
        <f t="shared" si="0"/>
        <v>Dewi</v>
      </c>
    </row>
    <row r="5" spans="1:7" x14ac:dyDescent="0.35">
      <c r="A5" s="2" t="s">
        <v>10</v>
      </c>
      <c r="B5" s="3" t="s">
        <v>17</v>
      </c>
      <c r="C5" s="2">
        <v>92</v>
      </c>
      <c r="E5" s="1" t="s">
        <v>18</v>
      </c>
      <c r="F5" s="1">
        <f>LARGE($C$2:$C$10,4)</f>
        <v>78</v>
      </c>
      <c r="G5" s="1" t="str">
        <f>INDEX($A$2:$C$10,MATCH(F5,$C$2:$C$10,0),1)</f>
        <v>Okta</v>
      </c>
    </row>
    <row r="6" spans="1:7" x14ac:dyDescent="0.35">
      <c r="A6" s="2" t="s">
        <v>11</v>
      </c>
      <c r="B6" s="3" t="s">
        <v>17</v>
      </c>
      <c r="C6" s="2">
        <v>80</v>
      </c>
      <c r="E6" s="7" t="s">
        <v>20</v>
      </c>
    </row>
    <row r="7" spans="1:7" x14ac:dyDescent="0.35">
      <c r="A7" s="2" t="s">
        <v>12</v>
      </c>
      <c r="B7" s="3" t="s">
        <v>17</v>
      </c>
      <c r="C7" s="2">
        <v>76</v>
      </c>
      <c r="E7" s="1" t="s">
        <v>3</v>
      </c>
      <c r="F7" s="1">
        <f>SMALL($C$2:$C$10,1)</f>
        <v>52</v>
      </c>
      <c r="G7" s="1" t="str">
        <f>INDEX($A$2:$C$10,MATCH(F7,$C$2:$C$10,0),1)</f>
        <v>Rani</v>
      </c>
    </row>
    <row r="8" spans="1:7" x14ac:dyDescent="0.35">
      <c r="A8" s="2" t="s">
        <v>13</v>
      </c>
      <c r="B8" s="3" t="s">
        <v>16</v>
      </c>
      <c r="C8" s="2">
        <v>64</v>
      </c>
      <c r="E8" s="1" t="s">
        <v>4</v>
      </c>
      <c r="F8" s="1">
        <f>SMALL($C$2:$C$10,2)</f>
        <v>58</v>
      </c>
      <c r="G8" s="1" t="str">
        <f t="shared" ref="G8:G10" si="1">INDEX($A$2:$C$10,MATCH(F8,$C$2:$C$10,0),1)</f>
        <v>Christian</v>
      </c>
    </row>
    <row r="9" spans="1:7" x14ac:dyDescent="0.35">
      <c r="A9" s="2" t="s">
        <v>14</v>
      </c>
      <c r="B9" s="3" t="s">
        <v>16</v>
      </c>
      <c r="C9" s="2">
        <v>62</v>
      </c>
      <c r="E9" s="1" t="s">
        <v>5</v>
      </c>
      <c r="F9" s="1">
        <f>SMALL($C$2:$C$10,3)</f>
        <v>62</v>
      </c>
      <c r="G9" s="1" t="str">
        <f t="shared" si="1"/>
        <v>Beni</v>
      </c>
    </row>
    <row r="10" spans="1:7" x14ac:dyDescent="0.35">
      <c r="A10" s="2" t="s">
        <v>15</v>
      </c>
      <c r="B10" s="3" t="s">
        <v>17</v>
      </c>
      <c r="C10" s="2">
        <v>52</v>
      </c>
      <c r="E10" s="1" t="s">
        <v>18</v>
      </c>
      <c r="F10" s="1">
        <f>SMALL($C$2:$C$10,4)</f>
        <v>64</v>
      </c>
      <c r="G10" s="1" t="str">
        <f t="shared" si="1"/>
        <v>Putra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2025-10-16T00:23:20Z</dcterms:created>
  <dcterms:modified xsi:type="dcterms:W3CDTF">2025-10-16T00:56:26Z</dcterms:modified>
</cp:coreProperties>
</file>